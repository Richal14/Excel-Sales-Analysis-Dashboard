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ICHAL\OneDrive\Desktop\"/>
    </mc:Choice>
  </mc:AlternateContent>
  <xr:revisionPtr revIDLastSave="0" documentId="13_ncr:1_{CBA58DA7-01E4-4520-9611-67332676A3F2}" xr6:coauthVersionLast="45" xr6:coauthVersionMax="45" xr10:uidLastSave="{00000000-0000-0000-0000-000000000000}"/>
  <bookViews>
    <workbookView xWindow="-108" yWindow="-108" windowWidth="23256" windowHeight="12456" activeTab="1" xr2:uid="{00000000-000D-0000-FFFF-FFFF00000000}"/>
  </bookViews>
  <sheets>
    <sheet name="KPIs_pivot" sheetId="2" r:id="rId1"/>
    <sheet name="Sales_By_Region" sheetId="3" r:id="rId2"/>
    <sheet name="Sales_By_Category" sheetId="4" r:id="rId3"/>
    <sheet name="Sales_Trend" sheetId="5" r:id="rId4"/>
    <sheet name="Top_Products" sheetId="6" r:id="rId5"/>
    <sheet name="Sales_By_City" sheetId="7" r:id="rId6"/>
    <sheet name="Dashboard" sheetId="8" r:id="rId7"/>
    <sheet name="Sales_Analysis_Dataset" sheetId="1" r:id="rId8"/>
  </sheets>
  <calcPr calcId="191029"/>
  <pivotCaches>
    <pivotCache cacheId="0" r:id="rId9"/>
  </pivotCaches>
</workbook>
</file>

<file path=xl/calcChain.xml><?xml version="1.0" encoding="utf-8"?>
<calcChain xmlns="http://schemas.openxmlformats.org/spreadsheetml/2006/main">
  <c r="N5" i="8" l="1"/>
  <c r="J5" i="8"/>
  <c r="F5" i="8"/>
  <c r="B5" i="8"/>
</calcChain>
</file>

<file path=xl/sharedStrings.xml><?xml version="1.0" encoding="utf-8"?>
<sst xmlns="http://schemas.openxmlformats.org/spreadsheetml/2006/main" count="185" uniqueCount="94">
  <si>
    <t>Order_ID</t>
  </si>
  <si>
    <t>Order_Date</t>
  </si>
  <si>
    <t>Customer_ID</t>
  </si>
  <si>
    <t>Customer_Name</t>
  </si>
  <si>
    <t>City</t>
  </si>
  <si>
    <t>State</t>
  </si>
  <si>
    <t>Region</t>
  </si>
  <si>
    <t>Product</t>
  </si>
  <si>
    <t>Category</t>
  </si>
  <si>
    <t>Quantity</t>
  </si>
  <si>
    <t>Unit_Price</t>
  </si>
  <si>
    <t>Sales</t>
  </si>
  <si>
    <t>Profit</t>
  </si>
  <si>
    <t>C001</t>
  </si>
  <si>
    <t>Aarav</t>
  </si>
  <si>
    <t>Hyderabad</t>
  </si>
  <si>
    <t>Telangana</t>
  </si>
  <si>
    <t>South</t>
  </si>
  <si>
    <t>Laptop</t>
  </si>
  <si>
    <t>Electronics</t>
  </si>
  <si>
    <t>C002</t>
  </si>
  <si>
    <t>Riya</t>
  </si>
  <si>
    <t>Bangalore</t>
  </si>
  <si>
    <t>Karnataka</t>
  </si>
  <si>
    <t>Mobile</t>
  </si>
  <si>
    <t>C003</t>
  </si>
  <si>
    <t>Arjun</t>
  </si>
  <si>
    <t>Mumbai</t>
  </si>
  <si>
    <t>Maharashtra</t>
  </si>
  <si>
    <t>West</t>
  </si>
  <si>
    <t>Office Chair</t>
  </si>
  <si>
    <t>Furniture</t>
  </si>
  <si>
    <t>C004</t>
  </si>
  <si>
    <t>Neha</t>
  </si>
  <si>
    <t>Delhi</t>
  </si>
  <si>
    <t>North</t>
  </si>
  <si>
    <t>Desk</t>
  </si>
  <si>
    <t>C005</t>
  </si>
  <si>
    <t>Rahul</t>
  </si>
  <si>
    <t>Chennai</t>
  </si>
  <si>
    <t>Tamil Nadu</t>
  </si>
  <si>
    <t>Tablet</t>
  </si>
  <si>
    <t>C006</t>
  </si>
  <si>
    <t>Pooja</t>
  </si>
  <si>
    <t>Pune</t>
  </si>
  <si>
    <t>Printer</t>
  </si>
  <si>
    <t>C007</t>
  </si>
  <si>
    <t>Karan</t>
  </si>
  <si>
    <t>Ahmedabad</t>
  </si>
  <si>
    <t>Gujarat</t>
  </si>
  <si>
    <t>Bookshelf</t>
  </si>
  <si>
    <t>C008</t>
  </si>
  <si>
    <t>Sneha</t>
  </si>
  <si>
    <t>Kolkata</t>
  </si>
  <si>
    <t>West Bengal</t>
  </si>
  <si>
    <t>East</t>
  </si>
  <si>
    <t>C009</t>
  </si>
  <si>
    <t>Manish</t>
  </si>
  <si>
    <t>Jaipur</t>
  </si>
  <si>
    <t>Rajasthan</t>
  </si>
  <si>
    <t>Office Table</t>
  </si>
  <si>
    <t>C010</t>
  </si>
  <si>
    <t>Anjali</t>
  </si>
  <si>
    <t>Coimbatore</t>
  </si>
  <si>
    <t>C011</t>
  </si>
  <si>
    <t>Vikram</t>
  </si>
  <si>
    <t>Noida</t>
  </si>
  <si>
    <t>Uttar Pradesh</t>
  </si>
  <si>
    <t>Monitor</t>
  </si>
  <si>
    <t>C012</t>
  </si>
  <si>
    <t>Meera</t>
  </si>
  <si>
    <t>Indore</t>
  </si>
  <si>
    <t>Madhya Pradesh</t>
  </si>
  <si>
    <t>Central</t>
  </si>
  <si>
    <t>C013</t>
  </si>
  <si>
    <t>Suresh</t>
  </si>
  <si>
    <t>Trichy</t>
  </si>
  <si>
    <t>C014</t>
  </si>
  <si>
    <t>Divya</t>
  </si>
  <si>
    <t>Surat</t>
  </si>
  <si>
    <t>C015</t>
  </si>
  <si>
    <t>Rohan</t>
  </si>
  <si>
    <t>Nagpur</t>
  </si>
  <si>
    <t>Sum of Sales</t>
  </si>
  <si>
    <t>Sum of Profit</t>
  </si>
  <si>
    <t>Sum of Quantity</t>
  </si>
  <si>
    <t>Row Labels</t>
  </si>
  <si>
    <t>Grand Total</t>
  </si>
  <si>
    <t>Sales Analysis Dashboard</t>
  </si>
  <si>
    <t>Total Sales</t>
  </si>
  <si>
    <t>Total Profit</t>
  </si>
  <si>
    <t>Total Quantity</t>
  </si>
  <si>
    <t>Average Order Value</t>
  </si>
  <si>
    <t>Total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</si>
</sst>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33" borderId="0" xfId="0" applyFill="1"/>
    <xf numFmtId="0" fontId="0" fillId="33" borderId="0" xfId="0" applyFill="1" applyAlignment="1">
      <alignment horizontal="left"/>
    </xf>
    <xf numFmtId="0" fontId="0" fillId="33" borderId="0" xfId="0" applyNumberFormat="1" applyFont="1" applyFill="1"/>
    <xf numFmtId="0" fontId="19" fillId="33" borderId="10" xfId="0" applyFont="1" applyFill="1" applyBorder="1" applyAlignment="1">
      <alignment horizontal="center" vertical="center"/>
    </xf>
    <xf numFmtId="164" fontId="19" fillId="35" borderId="10" xfId="0" applyNumberFormat="1" applyFont="1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18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9" formatCode="dd/mm/yyyy"/>
    </dxf>
    <dxf>
      <font>
        <color theme="1"/>
      </font>
    </dxf>
    <dxf>
      <fill>
        <patternFill patternType="solid">
          <bgColor theme="9" tint="0.39997558519241921"/>
        </patternFill>
      </fill>
    </dxf>
    <dxf>
      <font>
        <color rgb="FFFF0000"/>
      </font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[Sales_Analysis_Dataset.xlsx]KPIs_pivot!PivotTable1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KPIs_pivot!$A$1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KPIs_pivot!$A$2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KPIs_pivot!$A$2</c:f>
              <c:numCache>
                <c:formatCode>General</c:formatCode>
                <c:ptCount val="1"/>
                <c:pt idx="0">
                  <c:v>402000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3D-4481-AAA2-D85DB534E487}"/>
            </c:ext>
          </c:extLst>
        </c:ser>
        <c:ser>
          <c:idx val="1"/>
          <c:order val="1"/>
          <c:tx>
            <c:strRef>
              <c:f>KPIs_pivot!$B$1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KPIs_pivot!$A$2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KPIs_pivot!$B$2</c:f>
              <c:numCache>
                <c:formatCode>General</c:formatCode>
                <c:ptCount val="1"/>
                <c:pt idx="0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3D-4481-AAA2-D85DB534E487}"/>
            </c:ext>
          </c:extLst>
        </c:ser>
        <c:ser>
          <c:idx val="2"/>
          <c:order val="2"/>
          <c:tx>
            <c:strRef>
              <c:f>KPIs_pivot!$C$1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KPIs_pivot!$A$2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KPIs_pivot!$C$2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3D-4481-AAA2-D85DB534E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5159663"/>
        <c:axId val="234597567"/>
      </c:barChart>
      <c:catAx>
        <c:axId val="210515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597567"/>
        <c:crosses val="autoZero"/>
        <c:auto val="1"/>
        <c:lblAlgn val="ctr"/>
        <c:lblOffset val="100"/>
        <c:noMultiLvlLbl val="0"/>
      </c:catAx>
      <c:valAx>
        <c:axId val="23459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[Sales_Analysis_Dataset.xlsx]Sales_By_Region!PivotTable2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Sales_By_Region!$B$1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Sales_By_Region!$A$2:$A$7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Sales_By_Region!$B$2:$B$7</c:f>
              <c:numCache>
                <c:formatCode>General</c:formatCode>
                <c:ptCount val="5"/>
                <c:pt idx="0">
                  <c:v>13000</c:v>
                </c:pt>
                <c:pt idx="1">
                  <c:v>20000</c:v>
                </c:pt>
                <c:pt idx="2">
                  <c:v>58000</c:v>
                </c:pt>
                <c:pt idx="3">
                  <c:v>215000</c:v>
                </c:pt>
                <c:pt idx="4">
                  <c:v>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77-4C54-A90E-6437B77BD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070959"/>
        <c:axId val="2108107999"/>
      </c:barChart>
      <c:catAx>
        <c:axId val="2990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107999"/>
        <c:crosses val="autoZero"/>
        <c:auto val="1"/>
        <c:lblAlgn val="ctr"/>
        <c:lblOffset val="100"/>
        <c:noMultiLvlLbl val="0"/>
      </c:catAx>
      <c:valAx>
        <c:axId val="210810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0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[Sales_Analysis_Dataset.xlsx]Sales_By_Category!PivotTable3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Sales_By_Category!$B$1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7B-4D6B-88DB-83BF178E67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37B-4D6B-88DB-83BF178E670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Sales_By_Category!$A$2:$A$4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Sales_By_Category!$B$2:$B$4</c:f>
              <c:numCache>
                <c:formatCode>General</c:formatCode>
                <c:ptCount val="2"/>
                <c:pt idx="0">
                  <c:v>300000</c:v>
                </c:pt>
                <c:pt idx="1">
                  <c:v>102000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0E-41B5-BF21-38B44CA19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[Sales_Analysis_Dataset.xlsx]Sales_Trend!PivotTable4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Sales_Trend!$B$1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Sales_Trend!$A$2:$A$17</c:f>
              <c:strCache>
                <c:ptCount val="15"/>
                <c:pt idx="0">
                  <c:v>01-01-2024</c:v>
                </c:pt>
                <c:pt idx="1">
                  <c:v>02-01-2024</c:v>
                </c:pt>
                <c:pt idx="2">
                  <c:v>03-01-2024</c:v>
                </c:pt>
                <c:pt idx="3">
                  <c:v>04-01-2024</c:v>
                </c:pt>
                <c:pt idx="4">
                  <c:v>05-01-2024</c:v>
                </c:pt>
                <c:pt idx="5">
                  <c:v>06-01-2024</c:v>
                </c:pt>
                <c:pt idx="6">
                  <c:v>07-01-2024</c:v>
                </c:pt>
                <c:pt idx="7">
                  <c:v>08-01-2024</c:v>
                </c:pt>
                <c:pt idx="8">
                  <c:v>09-01-2024</c:v>
                </c:pt>
                <c:pt idx="9">
                  <c:v>10-01-2024</c:v>
                </c:pt>
                <c:pt idx="10">
                  <c:v>11-01-2024</c:v>
                </c:pt>
                <c:pt idx="11">
                  <c:v>12-01-2024</c:v>
                </c:pt>
                <c:pt idx="12">
                  <c:v>13-01-2024</c:v>
                </c:pt>
                <c:pt idx="13">
                  <c:v>14-01-2024</c:v>
                </c:pt>
                <c:pt idx="14">
                  <c:v>15-01-2024</c:v>
                </c:pt>
              </c:strCache>
            </c:strRef>
          </c:cat>
          <c:val>
            <c:numRef>
              <c:f>Sales_Trend!$B$2:$B$17</c:f>
              <c:numCache>
                <c:formatCode>General</c:formatCode>
                <c:ptCount val="15"/>
                <c:pt idx="0">
                  <c:v>55000</c:v>
                </c:pt>
                <c:pt idx="1">
                  <c:v>36000</c:v>
                </c:pt>
                <c:pt idx="2">
                  <c:v>18000</c:v>
                </c:pt>
                <c:pt idx="3">
                  <c:v>12000</c:v>
                </c:pt>
                <c:pt idx="4">
                  <c:v>50000</c:v>
                </c:pt>
                <c:pt idx="5">
                  <c:v>15000</c:v>
                </c:pt>
                <c:pt idx="6">
                  <c:v>16000</c:v>
                </c:pt>
                <c:pt idx="7">
                  <c:v>20000</c:v>
                </c:pt>
                <c:pt idx="8">
                  <c:v>22000</c:v>
                </c:pt>
                <c:pt idx="9">
                  <c:v>60000</c:v>
                </c:pt>
                <c:pt idx="10">
                  <c:v>24000</c:v>
                </c:pt>
                <c:pt idx="11">
                  <c:v>13000</c:v>
                </c:pt>
                <c:pt idx="12">
                  <c:v>14000</c:v>
                </c:pt>
                <c:pt idx="13">
                  <c:v>26000</c:v>
                </c:pt>
                <c:pt idx="14">
                  <c:v>21000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DC-497B-9686-9D4F2F749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4557103"/>
        <c:axId val="299834095"/>
      </c:lineChart>
      <c:catAx>
        <c:axId val="30455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834095"/>
        <c:crosses val="autoZero"/>
        <c:auto val="1"/>
        <c:lblAlgn val="ctr"/>
        <c:lblOffset val="100"/>
        <c:noMultiLvlLbl val="0"/>
      </c:catAx>
      <c:valAx>
        <c:axId val="2998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55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[Sales_Analysis_Dataset.xlsx]Top_Products!PivotTable5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Top_Products!$B$1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Top_Products!$A$2:$A$11</c:f>
              <c:strCache>
                <c:ptCount val="9"/>
                <c:pt idx="0">
                  <c:v>Laptop</c:v>
                </c:pt>
                <c:pt idx="1">
                  <c:v>Tablet</c:v>
                </c:pt>
                <c:pt idx="2">
                  <c:v>Mobile</c:v>
                </c:pt>
                <c:pt idx="3">
                  <c:v>Office Table</c:v>
                </c:pt>
                <c:pt idx="4">
                  <c:v>Office Chair</c:v>
                </c:pt>
                <c:pt idx="5">
                  <c:v>Printer</c:v>
                </c:pt>
                <c:pt idx="6">
                  <c:v>Bookshelf</c:v>
                </c:pt>
                <c:pt idx="7">
                  <c:v>Monitor</c:v>
                </c:pt>
                <c:pt idx="8">
                  <c:v>Desk</c:v>
                </c:pt>
              </c:strCache>
            </c:strRef>
          </c:cat>
          <c:val>
            <c:numRef>
              <c:f>Top_Products!$B$2:$B$11</c:f>
              <c:numCache>
                <c:formatCode>General</c:formatCode>
                <c:ptCount val="9"/>
                <c:pt idx="0">
                  <c:v>17000</c:v>
                </c:pt>
                <c:pt idx="1">
                  <c:v>11000</c:v>
                </c:pt>
                <c:pt idx="2">
                  <c:v>8000</c:v>
                </c:pt>
                <c:pt idx="3">
                  <c:v>7500</c:v>
                </c:pt>
                <c:pt idx="4">
                  <c:v>7000</c:v>
                </c:pt>
                <c:pt idx="5">
                  <c:v>4500</c:v>
                </c:pt>
                <c:pt idx="6">
                  <c:v>3500</c:v>
                </c:pt>
                <c:pt idx="7">
                  <c:v>3500</c:v>
                </c:pt>
                <c:pt idx="8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45-4C9C-B1E8-D756708E4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4555903"/>
        <c:axId val="299834511"/>
      </c:barChart>
      <c:catAx>
        <c:axId val="30455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834511"/>
        <c:crosses val="autoZero"/>
        <c:auto val="1"/>
        <c:lblAlgn val="ctr"/>
        <c:lblOffset val="100"/>
        <c:noMultiLvlLbl val="0"/>
      </c:catAx>
      <c:valAx>
        <c:axId val="29983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55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[Sales_Analysis_Dataset.xlsx]Sales_By_City!PivotTable6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Sales_By_City!$B$1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Sales_By_City!$A$2:$A$17</c:f>
              <c:strCache>
                <c:ptCount val="15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Coimbatore</c:v>
                </c:pt>
                <c:pt idx="4">
                  <c:v>Delhi</c:v>
                </c:pt>
                <c:pt idx="5">
                  <c:v>Hyderabad</c:v>
                </c:pt>
                <c:pt idx="6">
                  <c:v>Indore</c:v>
                </c:pt>
                <c:pt idx="7">
                  <c:v>Jaipur</c:v>
                </c:pt>
                <c:pt idx="8">
                  <c:v>Kolkata</c:v>
                </c:pt>
                <c:pt idx="9">
                  <c:v>Mumbai</c:v>
                </c:pt>
                <c:pt idx="10">
                  <c:v>Nagpur</c:v>
                </c:pt>
                <c:pt idx="11">
                  <c:v>Noida</c:v>
                </c:pt>
                <c:pt idx="12">
                  <c:v>Pune</c:v>
                </c:pt>
                <c:pt idx="13">
                  <c:v>Surat</c:v>
                </c:pt>
                <c:pt idx="14">
                  <c:v>Trichy</c:v>
                </c:pt>
              </c:strCache>
            </c:strRef>
          </c:cat>
          <c:val>
            <c:numRef>
              <c:f>Sales_By_City!$B$2:$B$17</c:f>
              <c:numCache>
                <c:formatCode>General</c:formatCode>
                <c:ptCount val="15"/>
                <c:pt idx="0">
                  <c:v>16000</c:v>
                </c:pt>
                <c:pt idx="1">
                  <c:v>36000</c:v>
                </c:pt>
                <c:pt idx="2">
                  <c:v>50000</c:v>
                </c:pt>
                <c:pt idx="3">
                  <c:v>60000</c:v>
                </c:pt>
                <c:pt idx="4">
                  <c:v>12000</c:v>
                </c:pt>
                <c:pt idx="5">
                  <c:v>55000</c:v>
                </c:pt>
                <c:pt idx="6">
                  <c:v>13000</c:v>
                </c:pt>
                <c:pt idx="7">
                  <c:v>22000</c:v>
                </c:pt>
                <c:pt idx="8">
                  <c:v>20000</c:v>
                </c:pt>
                <c:pt idx="9">
                  <c:v>18000</c:v>
                </c:pt>
                <c:pt idx="10">
                  <c:v>21000</c:v>
                </c:pt>
                <c:pt idx="11">
                  <c:v>24000</c:v>
                </c:pt>
                <c:pt idx="12">
                  <c:v>15000</c:v>
                </c:pt>
                <c:pt idx="13">
                  <c:v>26000</c:v>
                </c:pt>
                <c:pt idx="14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F0-44F6-910C-949E52EBB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707503"/>
        <c:axId val="299839919"/>
      </c:barChart>
      <c:catAx>
        <c:axId val="307707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839919"/>
        <c:crosses val="autoZero"/>
        <c:auto val="1"/>
        <c:lblAlgn val="ctr"/>
        <c:lblOffset val="100"/>
        <c:noMultiLvlLbl val="0"/>
      </c:catAx>
      <c:valAx>
        <c:axId val="29983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0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[Sales_Analysis_Dataset.xlsx]Sales_By_Region!PivotTable2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37625545885860323"/>
          <c:y val="0.115205380215597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Sales_By_Region!$B$1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Sales_By_Region!$A$2:$A$7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Sales_By_Region!$B$2:$B$7</c:f>
              <c:numCache>
                <c:formatCode>General</c:formatCode>
                <c:ptCount val="5"/>
                <c:pt idx="0">
                  <c:v>13000</c:v>
                </c:pt>
                <c:pt idx="1">
                  <c:v>20000</c:v>
                </c:pt>
                <c:pt idx="2">
                  <c:v>58000</c:v>
                </c:pt>
                <c:pt idx="3">
                  <c:v>215000</c:v>
                </c:pt>
                <c:pt idx="4">
                  <c:v>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D-4687-9BCB-C48C6E4A0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070959"/>
        <c:axId val="2108107999"/>
      </c:barChart>
      <c:catAx>
        <c:axId val="2990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107999"/>
        <c:crosses val="autoZero"/>
        <c:auto val="1"/>
        <c:lblAlgn val="ctr"/>
        <c:lblOffset val="100"/>
        <c:noMultiLvlLbl val="0"/>
      </c:catAx>
      <c:valAx>
        <c:axId val="210810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07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[Sales_Analysis_Dataset.xlsx]Sales_By_Category!PivotTable3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layout>
        <c:manualLayout>
          <c:xMode val="edge"/>
          <c:yMode val="edge"/>
          <c:x val="0.34651062839557767"/>
          <c:y val="8.9429321907539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6">
              <a:shade val="76000"/>
            </a:schemeClr>
          </a:solidFill>
          <a:ln>
            <a:noFill/>
          </a:ln>
          <a:effectLst/>
        </c:spPr>
        <c:dLbl>
          <c:idx val="0"/>
          <c:layout>
            <c:manualLayout>
              <c:x val="5.1459028425758988E-2"/>
              <c:y val="-0.1819443135789858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6">
              <a:tint val="77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Sales_By_Category!$B$1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31-4466-ABF7-8D41FD380D1B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231-4466-ABF7-8D41FD380D1B}"/>
              </c:ext>
            </c:extLst>
          </c:dPt>
          <c:dLbls>
            <c:dLbl>
              <c:idx val="0"/>
              <c:layout>
                <c:manualLayout>
                  <c:x val="5.1459028425758988E-2"/>
                  <c:y val="-0.1819443135789858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31-4466-ABF7-8D41FD380D1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Sales_By_Category!$A$2:$A$4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Sales_By_Category!$B$2:$B$4</c:f>
              <c:numCache>
                <c:formatCode>General</c:formatCode>
                <c:ptCount val="2"/>
                <c:pt idx="0">
                  <c:v>300000</c:v>
                </c:pt>
                <c:pt idx="1">
                  <c:v>102000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31-4466-ABF7-8D41FD380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[Sales_Analysis_Dataset.xlsx]Sales_Trend!PivotTable4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Sales_Trend!$B$1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Sales_Trend!$A$2:$A$17</c:f>
              <c:strCache>
                <c:ptCount val="15"/>
                <c:pt idx="0">
                  <c:v>01-01-2024</c:v>
                </c:pt>
                <c:pt idx="1">
                  <c:v>02-01-2024</c:v>
                </c:pt>
                <c:pt idx="2">
                  <c:v>03-01-2024</c:v>
                </c:pt>
                <c:pt idx="3">
                  <c:v>04-01-2024</c:v>
                </c:pt>
                <c:pt idx="4">
                  <c:v>05-01-2024</c:v>
                </c:pt>
                <c:pt idx="5">
                  <c:v>06-01-2024</c:v>
                </c:pt>
                <c:pt idx="6">
                  <c:v>07-01-2024</c:v>
                </c:pt>
                <c:pt idx="7">
                  <c:v>08-01-2024</c:v>
                </c:pt>
                <c:pt idx="8">
                  <c:v>09-01-2024</c:v>
                </c:pt>
                <c:pt idx="9">
                  <c:v>10-01-2024</c:v>
                </c:pt>
                <c:pt idx="10">
                  <c:v>11-01-2024</c:v>
                </c:pt>
                <c:pt idx="11">
                  <c:v>12-01-2024</c:v>
                </c:pt>
                <c:pt idx="12">
                  <c:v>13-01-2024</c:v>
                </c:pt>
                <c:pt idx="13">
                  <c:v>14-01-2024</c:v>
                </c:pt>
                <c:pt idx="14">
                  <c:v>15-01-2024</c:v>
                </c:pt>
              </c:strCache>
            </c:strRef>
          </c:cat>
          <c:val>
            <c:numRef>
              <c:f>Sales_Trend!$B$2:$B$17</c:f>
              <c:numCache>
                <c:formatCode>General</c:formatCode>
                <c:ptCount val="15"/>
                <c:pt idx="0">
                  <c:v>55000</c:v>
                </c:pt>
                <c:pt idx="1">
                  <c:v>36000</c:v>
                </c:pt>
                <c:pt idx="2">
                  <c:v>18000</c:v>
                </c:pt>
                <c:pt idx="3">
                  <c:v>12000</c:v>
                </c:pt>
                <c:pt idx="4">
                  <c:v>50000</c:v>
                </c:pt>
                <c:pt idx="5">
                  <c:v>15000</c:v>
                </c:pt>
                <c:pt idx="6">
                  <c:v>16000</c:v>
                </c:pt>
                <c:pt idx="7">
                  <c:v>20000</c:v>
                </c:pt>
                <c:pt idx="8">
                  <c:v>22000</c:v>
                </c:pt>
                <c:pt idx="9">
                  <c:v>60000</c:v>
                </c:pt>
                <c:pt idx="10">
                  <c:v>24000</c:v>
                </c:pt>
                <c:pt idx="11">
                  <c:v>13000</c:v>
                </c:pt>
                <c:pt idx="12">
                  <c:v>14000</c:v>
                </c:pt>
                <c:pt idx="13">
                  <c:v>26000</c:v>
                </c:pt>
                <c:pt idx="14">
                  <c:v>21000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DF-47BE-8839-50A7D9DFA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4557103"/>
        <c:axId val="299834095"/>
      </c:lineChart>
      <c:catAx>
        <c:axId val="30455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834095"/>
        <c:crosses val="autoZero"/>
        <c:auto val="1"/>
        <c:lblAlgn val="ctr"/>
        <c:lblOffset val="100"/>
        <c:noMultiLvlLbl val="0"/>
      </c:catAx>
      <c:valAx>
        <c:axId val="2998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55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[Sales_Analysis_Dataset.xlsx]Sales_By_City!PivotTable6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Sales_By_City!$B$1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Sales_By_City!$A$2:$A$17</c:f>
              <c:strCache>
                <c:ptCount val="15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Coimbatore</c:v>
                </c:pt>
                <c:pt idx="4">
                  <c:v>Delhi</c:v>
                </c:pt>
                <c:pt idx="5">
                  <c:v>Hyderabad</c:v>
                </c:pt>
                <c:pt idx="6">
                  <c:v>Indore</c:v>
                </c:pt>
                <c:pt idx="7">
                  <c:v>Jaipur</c:v>
                </c:pt>
                <c:pt idx="8">
                  <c:v>Kolkata</c:v>
                </c:pt>
                <c:pt idx="9">
                  <c:v>Mumbai</c:v>
                </c:pt>
                <c:pt idx="10">
                  <c:v>Nagpur</c:v>
                </c:pt>
                <c:pt idx="11">
                  <c:v>Noida</c:v>
                </c:pt>
                <c:pt idx="12">
                  <c:v>Pune</c:v>
                </c:pt>
                <c:pt idx="13">
                  <c:v>Surat</c:v>
                </c:pt>
                <c:pt idx="14">
                  <c:v>Trichy</c:v>
                </c:pt>
              </c:strCache>
            </c:strRef>
          </c:cat>
          <c:val>
            <c:numRef>
              <c:f>Sales_By_City!$B$2:$B$17</c:f>
              <c:numCache>
                <c:formatCode>General</c:formatCode>
                <c:ptCount val="15"/>
                <c:pt idx="0">
                  <c:v>16000</c:v>
                </c:pt>
                <c:pt idx="1">
                  <c:v>36000</c:v>
                </c:pt>
                <c:pt idx="2">
                  <c:v>50000</c:v>
                </c:pt>
                <c:pt idx="3">
                  <c:v>60000</c:v>
                </c:pt>
                <c:pt idx="4">
                  <c:v>12000</c:v>
                </c:pt>
                <c:pt idx="5">
                  <c:v>55000</c:v>
                </c:pt>
                <c:pt idx="6">
                  <c:v>13000</c:v>
                </c:pt>
                <c:pt idx="7">
                  <c:v>22000</c:v>
                </c:pt>
                <c:pt idx="8">
                  <c:v>20000</c:v>
                </c:pt>
                <c:pt idx="9">
                  <c:v>18000</c:v>
                </c:pt>
                <c:pt idx="10">
                  <c:v>21000</c:v>
                </c:pt>
                <c:pt idx="11">
                  <c:v>24000</c:v>
                </c:pt>
                <c:pt idx="12">
                  <c:v>15000</c:v>
                </c:pt>
                <c:pt idx="13">
                  <c:v>26000</c:v>
                </c:pt>
                <c:pt idx="14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9-410A-ACB1-F066A1BA3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707503"/>
        <c:axId val="299839919"/>
      </c:barChart>
      <c:catAx>
        <c:axId val="307707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839919"/>
        <c:crosses val="autoZero"/>
        <c:auto val="1"/>
        <c:lblAlgn val="ctr"/>
        <c:lblOffset val="100"/>
        <c:noMultiLvlLbl val="0"/>
      </c:catAx>
      <c:valAx>
        <c:axId val="29983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0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2</xdr:row>
      <xdr:rowOff>0</xdr:rowOff>
    </xdr:from>
    <xdr:to>
      <xdr:col>11</xdr:col>
      <xdr:colOff>228600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BB71E4-FB20-4ABA-9B23-F2375FB5B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0</xdr:row>
      <xdr:rowOff>53340</xdr:rowOff>
    </xdr:from>
    <xdr:to>
      <xdr:col>10</xdr:col>
      <xdr:colOff>281940</xdr:colOff>
      <xdr:row>15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F52644-AC92-45E5-AF2F-0A464F422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6</xdr:row>
      <xdr:rowOff>60960</xdr:rowOff>
    </xdr:from>
    <xdr:to>
      <xdr:col>7</xdr:col>
      <xdr:colOff>350520</xdr:colOff>
      <xdr:row>21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CBC535-24C3-4376-9695-97FEEA53B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0</xdr:row>
      <xdr:rowOff>0</xdr:rowOff>
    </xdr:from>
    <xdr:to>
      <xdr:col>10</xdr:col>
      <xdr:colOff>175260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0FFD63-99F9-45E3-9BA3-591EA0A46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</xdr:colOff>
      <xdr:row>4</xdr:row>
      <xdr:rowOff>160020</xdr:rowOff>
    </xdr:from>
    <xdr:to>
      <xdr:col>9</xdr:col>
      <xdr:colOff>487680</xdr:colOff>
      <xdr:row>19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BB19E-9E72-4EBE-8C66-6573D2AAA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1</xdr:row>
      <xdr:rowOff>30480</xdr:rowOff>
    </xdr:from>
    <xdr:to>
      <xdr:col>10</xdr:col>
      <xdr:colOff>274320</xdr:colOff>
      <xdr:row>16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45E35-DF16-4C63-83BF-9CFB93096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186138</xdr:colOff>
      <xdr:row>7</xdr:row>
      <xdr:rowOff>75618</xdr:rowOff>
    </xdr:from>
    <xdr:to>
      <xdr:col>7</xdr:col>
      <xdr:colOff>465343</xdr:colOff>
      <xdr:row>17</xdr:row>
      <xdr:rowOff>122152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4BD314-1DF3-48D9-9795-E739F9586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575862</xdr:colOff>
      <xdr:row>7</xdr:row>
      <xdr:rowOff>81434</xdr:rowOff>
    </xdr:from>
    <xdr:to>
      <xdr:col>15</xdr:col>
      <xdr:colOff>75619</xdr:colOff>
      <xdr:row>17</xdr:row>
      <xdr:rowOff>93069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06F7AD-BC39-4D97-90F4-68BD89116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197770</xdr:colOff>
      <xdr:row>18</xdr:row>
      <xdr:rowOff>122153</xdr:rowOff>
    </xdr:from>
    <xdr:to>
      <xdr:col>7</xdr:col>
      <xdr:colOff>168686</xdr:colOff>
      <xdr:row>31</xdr:row>
      <xdr:rowOff>11633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789B8D-6068-422E-811D-EC87A5988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221036</xdr:colOff>
      <xdr:row>18</xdr:row>
      <xdr:rowOff>63984</xdr:rowOff>
    </xdr:from>
    <xdr:to>
      <xdr:col>17</xdr:col>
      <xdr:colOff>104702</xdr:colOff>
      <xdr:row>30</xdr:row>
      <xdr:rowOff>127969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0DE03C-1915-4A9E-9AE0-1A068151C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L" refreshedDate="46038.504190624997" createdVersion="6" refreshedVersion="6" minRefreshableVersion="3" recordCount="15" xr:uid="{00000000-000A-0000-FFFF-FFFF0B000000}">
  <cacheSource type="worksheet">
    <worksheetSource name="Table1"/>
  </cacheSource>
  <cacheFields count="13">
    <cacheField name="Order_ID" numFmtId="0">
      <sharedItems containsSemiMixedTypes="0" containsString="0" containsNumber="1" containsInteger="1" minValue="1001" maxValue="1015"/>
    </cacheField>
    <cacheField name="Order_Date" numFmtId="14">
      <sharedItems containsSemiMixedTypes="0" containsNonDate="0" containsDate="1" containsString="0" minDate="2024-01-01T00:00:00" maxDate="2024-01-16T00:00:00" count="15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</sharedItems>
    </cacheField>
    <cacheField name="Customer_ID" numFmtId="0">
      <sharedItems/>
    </cacheField>
    <cacheField name="Customer_Name" numFmtId="0">
      <sharedItems/>
    </cacheField>
    <cacheField name="City" numFmtId="0">
      <sharedItems count="15">
        <s v="Hyderabad"/>
        <s v="Bangalore"/>
        <s v="Mumbai"/>
        <s v="Delhi"/>
        <s v="Chennai"/>
        <s v="Pune"/>
        <s v="Ahmedabad"/>
        <s v="Kolkata"/>
        <s v="Jaipur"/>
        <s v="Coimbatore"/>
        <s v="Noida"/>
        <s v="Indore"/>
        <s v="Trichy"/>
        <s v="Surat"/>
        <s v="Nagpur"/>
      </sharedItems>
    </cacheField>
    <cacheField name="State" numFmtId="0">
      <sharedItems/>
    </cacheField>
    <cacheField name="Region" numFmtId="0">
      <sharedItems count="5">
        <s v="South"/>
        <s v="West"/>
        <s v="North"/>
        <s v="East"/>
        <s v="Central"/>
      </sharedItems>
    </cacheField>
    <cacheField name="Product" numFmtId="0">
      <sharedItems count="9">
        <s v="Laptop"/>
        <s v="Mobile"/>
        <s v="Office Chair"/>
        <s v="Desk"/>
        <s v="Tablet"/>
        <s v="Printer"/>
        <s v="Bookshelf"/>
        <s v="Office Table"/>
        <s v="Monitor"/>
      </sharedItems>
    </cacheField>
    <cacheField name="Category" numFmtId="0">
      <sharedItems count="2">
        <s v="Electronics"/>
        <s v="Furniture"/>
      </sharedItems>
    </cacheField>
    <cacheField name="Quantity" numFmtId="0">
      <sharedItems containsSemiMixedTypes="0" containsString="0" containsNumber="1" containsInteger="1" minValue="1" maxValue="3"/>
    </cacheField>
    <cacheField name="Unit_Price" numFmtId="0">
      <sharedItems containsSemiMixedTypes="0" containsString="0" containsNumber="1" containsInteger="1" minValue="6000" maxValue="60000"/>
    </cacheField>
    <cacheField name="Sales" numFmtId="0">
      <sharedItems containsSemiMixedTypes="0" containsString="0" containsNumber="1" containsInteger="1" minValue="12000" maxValue="60000"/>
    </cacheField>
    <cacheField name="Profit" numFmtId="0">
      <sharedItems containsSemiMixedTypes="0" containsString="0" containsNumber="1" containsInteger="1" minValue="2000" maxValue="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n v="1001"/>
    <x v="0"/>
    <s v="C001"/>
    <s v="Aarav"/>
    <x v="0"/>
    <s v="Telangana"/>
    <x v="0"/>
    <x v="0"/>
    <x v="0"/>
    <n v="1"/>
    <n v="55000"/>
    <n v="55000"/>
    <n v="8000"/>
  </r>
  <r>
    <n v="1002"/>
    <x v="1"/>
    <s v="C002"/>
    <s v="Riya"/>
    <x v="1"/>
    <s v="Karnataka"/>
    <x v="0"/>
    <x v="1"/>
    <x v="0"/>
    <n v="2"/>
    <n v="18000"/>
    <n v="36000"/>
    <n v="5000"/>
  </r>
  <r>
    <n v="1003"/>
    <x v="2"/>
    <s v="C003"/>
    <s v="Arjun"/>
    <x v="2"/>
    <s v="Maharashtra"/>
    <x v="1"/>
    <x v="2"/>
    <x v="1"/>
    <n v="3"/>
    <n v="6000"/>
    <n v="18000"/>
    <n v="4000"/>
  </r>
  <r>
    <n v="1004"/>
    <x v="3"/>
    <s v="C004"/>
    <s v="Neha"/>
    <x v="3"/>
    <s v="Delhi"/>
    <x v="2"/>
    <x v="3"/>
    <x v="1"/>
    <n v="1"/>
    <n v="12000"/>
    <n v="12000"/>
    <n v="3000"/>
  </r>
  <r>
    <n v="1005"/>
    <x v="4"/>
    <s v="C005"/>
    <s v="Rahul"/>
    <x v="4"/>
    <s v="Tamil Nadu"/>
    <x v="0"/>
    <x v="4"/>
    <x v="0"/>
    <n v="2"/>
    <n v="25000"/>
    <n v="50000"/>
    <n v="7000"/>
  </r>
  <r>
    <n v="1006"/>
    <x v="5"/>
    <s v="C006"/>
    <s v="Pooja"/>
    <x v="5"/>
    <s v="Maharashtra"/>
    <x v="1"/>
    <x v="5"/>
    <x v="0"/>
    <n v="1"/>
    <n v="15000"/>
    <n v="15000"/>
    <n v="2000"/>
  </r>
  <r>
    <n v="1007"/>
    <x v="6"/>
    <s v="C007"/>
    <s v="Karan"/>
    <x v="6"/>
    <s v="Gujarat"/>
    <x v="1"/>
    <x v="6"/>
    <x v="1"/>
    <n v="2"/>
    <n v="8000"/>
    <n v="16000"/>
    <n v="3500"/>
  </r>
  <r>
    <n v="1008"/>
    <x v="7"/>
    <s v="C008"/>
    <s v="Sneha"/>
    <x v="7"/>
    <s v="West Bengal"/>
    <x v="3"/>
    <x v="1"/>
    <x v="0"/>
    <n v="1"/>
    <n v="20000"/>
    <n v="20000"/>
    <n v="3000"/>
  </r>
  <r>
    <n v="1009"/>
    <x v="8"/>
    <s v="C009"/>
    <s v="Manish"/>
    <x v="8"/>
    <s v="Rajasthan"/>
    <x v="2"/>
    <x v="7"/>
    <x v="1"/>
    <n v="1"/>
    <n v="22000"/>
    <n v="22000"/>
    <n v="4000"/>
  </r>
  <r>
    <n v="1010"/>
    <x v="9"/>
    <s v="C010"/>
    <s v="Anjali"/>
    <x v="9"/>
    <s v="Tamil Nadu"/>
    <x v="0"/>
    <x v="0"/>
    <x v="0"/>
    <n v="1"/>
    <n v="60000"/>
    <n v="60000"/>
    <n v="9000"/>
  </r>
  <r>
    <n v="1011"/>
    <x v="10"/>
    <s v="C011"/>
    <s v="Vikram"/>
    <x v="10"/>
    <s v="Uttar Pradesh"/>
    <x v="2"/>
    <x v="8"/>
    <x v="0"/>
    <n v="2"/>
    <n v="12000"/>
    <n v="24000"/>
    <n v="3500"/>
  </r>
  <r>
    <n v="1012"/>
    <x v="11"/>
    <s v="C012"/>
    <s v="Meera"/>
    <x v="11"/>
    <s v="Madhya Pradesh"/>
    <x v="4"/>
    <x v="2"/>
    <x v="1"/>
    <n v="2"/>
    <n v="6500"/>
    <n v="13000"/>
    <n v="3000"/>
  </r>
  <r>
    <n v="1013"/>
    <x v="12"/>
    <s v="C013"/>
    <s v="Suresh"/>
    <x v="12"/>
    <s v="Tamil Nadu"/>
    <x v="0"/>
    <x v="5"/>
    <x v="0"/>
    <n v="1"/>
    <n v="14000"/>
    <n v="14000"/>
    <n v="2500"/>
  </r>
  <r>
    <n v="1014"/>
    <x v="13"/>
    <s v="C014"/>
    <s v="Divya"/>
    <x v="13"/>
    <s v="Gujarat"/>
    <x v="1"/>
    <x v="4"/>
    <x v="0"/>
    <n v="1"/>
    <n v="26000"/>
    <n v="26000"/>
    <n v="4000"/>
  </r>
  <r>
    <n v="1015"/>
    <x v="14"/>
    <s v="C015"/>
    <s v="Rohan"/>
    <x v="14"/>
    <s v="Maharashtra"/>
    <x v="1"/>
    <x v="7"/>
    <x v="1"/>
    <n v="1"/>
    <n v="21000"/>
    <n v="21000"/>
    <n v="3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C2" firstHeaderRow="0" firstDataRow="1" firstDataCol="0"/>
  <pivotFields count="1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1" baseField="0" baseItem="0"/>
    <dataField name="Sum of Profit" fld="12" baseField="0" baseItem="0"/>
    <dataField name="Sum of Quantity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:B7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B4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Sales" fld="1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B17" firstHeaderRow="1" firstDataRow="1" firstDataCol="1"/>
  <pivotFields count="13">
    <pivotField showAll="0"/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ales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11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10">
        <item x="6"/>
        <item x="3"/>
        <item x="0"/>
        <item x="1"/>
        <item x="8"/>
        <item x="2"/>
        <item x="7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7"/>
  </rowFields>
  <rowItems count="10">
    <i>
      <x v="2"/>
    </i>
    <i>
      <x v="8"/>
    </i>
    <i>
      <x v="3"/>
    </i>
    <i>
      <x v="6"/>
    </i>
    <i>
      <x v="5"/>
    </i>
    <i>
      <x v="7"/>
    </i>
    <i>
      <x/>
    </i>
    <i>
      <x v="4"/>
    </i>
    <i>
      <x v="1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B17" firstHeaderRow="1" firstDataRow="1" firstDataCol="1"/>
  <pivotFields count="13">
    <pivotField showAll="0"/>
    <pivotField numFmtId="14" showAll="0"/>
    <pivotField showAll="0"/>
    <pivotField showAll="0"/>
    <pivotField axis="axisRow" showAll="0">
      <items count="16">
        <item x="6"/>
        <item x="1"/>
        <item x="4"/>
        <item x="9"/>
        <item x="3"/>
        <item x="0"/>
        <item x="11"/>
        <item x="8"/>
        <item x="7"/>
        <item x="2"/>
        <item x="14"/>
        <item x="10"/>
        <item x="5"/>
        <item x="13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ales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J20:K30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10">
        <item x="6"/>
        <item x="3"/>
        <item x="0"/>
        <item x="1"/>
        <item x="8"/>
        <item x="2"/>
        <item x="7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7"/>
  </rowFields>
  <rowItems count="10">
    <i>
      <x v="2"/>
    </i>
    <i>
      <x v="8"/>
    </i>
    <i>
      <x v="3"/>
    </i>
    <i>
      <x v="6"/>
    </i>
    <i>
      <x v="5"/>
    </i>
    <i>
      <x v="7"/>
    </i>
    <i>
      <x/>
    </i>
    <i>
      <x v="4"/>
    </i>
    <i>
      <x v="1"/>
    </i>
    <i t="grand">
      <x/>
    </i>
  </rowItems>
  <colItems count="1">
    <i/>
  </colItems>
  <dataFields count="1">
    <dataField name="Sum of Profit" fld="12" baseField="0" baseItem="0"/>
  </dataFields>
  <formats count="6">
    <format dxfId="6">
      <pivotArea field="7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grandRow="1" outline="0" collapsedLevelsAreSubtotals="1" fieldPosition="0"/>
    </format>
    <format dxfId="1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6" totalsRowShown="0">
  <autoFilter ref="A1:M16" xr:uid="{00000000-0009-0000-0100-000001000000}"/>
  <tableColumns count="13">
    <tableColumn id="1" xr3:uid="{00000000-0010-0000-0000-000001000000}" name="Order_ID"/>
    <tableColumn id="2" xr3:uid="{00000000-0010-0000-0000-000002000000}" name="Order_Date" dataDxfId="0"/>
    <tableColumn id="3" xr3:uid="{00000000-0010-0000-0000-000003000000}" name="Customer_ID"/>
    <tableColumn id="4" xr3:uid="{00000000-0010-0000-0000-000004000000}" name="Customer_Name"/>
    <tableColumn id="5" xr3:uid="{00000000-0010-0000-0000-000005000000}" name="City"/>
    <tableColumn id="6" xr3:uid="{00000000-0010-0000-0000-000006000000}" name="State"/>
    <tableColumn id="7" xr3:uid="{00000000-0010-0000-0000-000007000000}" name="Region"/>
    <tableColumn id="8" xr3:uid="{00000000-0010-0000-0000-000008000000}" name="Product"/>
    <tableColumn id="9" xr3:uid="{00000000-0010-0000-0000-000009000000}" name="Category"/>
    <tableColumn id="10" xr3:uid="{00000000-0010-0000-0000-00000A000000}" name="Quantity"/>
    <tableColumn id="11" xr3:uid="{00000000-0010-0000-0000-00000B000000}" name="Unit_Price"/>
    <tableColumn id="12" xr3:uid="{00000000-0010-0000-0000-00000C000000}" name="Sales"/>
    <tableColumn id="13" xr3:uid="{00000000-0010-0000-0000-00000D00000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4.4" x14ac:dyDescent="0.3"/>
  <cols>
    <col min="1" max="1" width="11.6640625" bestFit="1" customWidth="1"/>
    <col min="2" max="2" width="12.109375" bestFit="1" customWidth="1"/>
    <col min="3" max="3" width="14.88671875" bestFit="1" customWidth="1"/>
  </cols>
  <sheetData>
    <row r="1" spans="1:3" x14ac:dyDescent="0.3">
      <c r="A1" t="s">
        <v>83</v>
      </c>
      <c r="B1" t="s">
        <v>84</v>
      </c>
      <c r="C1" t="s">
        <v>85</v>
      </c>
    </row>
    <row r="2" spans="1:3" x14ac:dyDescent="0.3">
      <c r="A2" s="2">
        <v>402000</v>
      </c>
      <c r="B2" s="2">
        <v>65000</v>
      </c>
      <c r="C2" s="2">
        <v>22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/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s="3" t="s">
        <v>86</v>
      </c>
      <c r="B1" t="s">
        <v>83</v>
      </c>
    </row>
    <row r="2" spans="1:2" x14ac:dyDescent="0.3">
      <c r="A2" s="4" t="s">
        <v>73</v>
      </c>
      <c r="B2" s="2">
        <v>13000</v>
      </c>
    </row>
    <row r="3" spans="1:2" x14ac:dyDescent="0.3">
      <c r="A3" s="4" t="s">
        <v>55</v>
      </c>
      <c r="B3" s="2">
        <v>20000</v>
      </c>
    </row>
    <row r="4" spans="1:2" x14ac:dyDescent="0.3">
      <c r="A4" s="4" t="s">
        <v>35</v>
      </c>
      <c r="B4" s="2">
        <v>58000</v>
      </c>
    </row>
    <row r="5" spans="1:2" x14ac:dyDescent="0.3">
      <c r="A5" s="4" t="s">
        <v>17</v>
      </c>
      <c r="B5" s="2">
        <v>215000</v>
      </c>
    </row>
    <row r="6" spans="1:2" x14ac:dyDescent="0.3">
      <c r="A6" s="4" t="s">
        <v>29</v>
      </c>
      <c r="B6" s="2">
        <v>96000</v>
      </c>
    </row>
    <row r="7" spans="1:2" x14ac:dyDescent="0.3">
      <c r="A7" s="4" t="s">
        <v>87</v>
      </c>
      <c r="B7" s="2">
        <v>402000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s="3" t="s">
        <v>86</v>
      </c>
      <c r="B1" t="s">
        <v>83</v>
      </c>
    </row>
    <row r="2" spans="1:2" x14ac:dyDescent="0.3">
      <c r="A2" s="4" t="s">
        <v>19</v>
      </c>
      <c r="B2" s="2">
        <v>300000</v>
      </c>
    </row>
    <row r="3" spans="1:2" x14ac:dyDescent="0.3">
      <c r="A3" s="4" t="s">
        <v>31</v>
      </c>
      <c r="B3" s="2">
        <v>102000</v>
      </c>
    </row>
    <row r="4" spans="1:2" x14ac:dyDescent="0.3">
      <c r="A4" s="4" t="s">
        <v>87</v>
      </c>
      <c r="B4" s="2">
        <v>402000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/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s="3" t="s">
        <v>86</v>
      </c>
      <c r="B1" t="s">
        <v>83</v>
      </c>
    </row>
    <row r="2" spans="1:2" x14ac:dyDescent="0.3">
      <c r="A2" s="5">
        <v>45292</v>
      </c>
      <c r="B2" s="2">
        <v>55000</v>
      </c>
    </row>
    <row r="3" spans="1:2" x14ac:dyDescent="0.3">
      <c r="A3" s="5">
        <v>45293</v>
      </c>
      <c r="B3" s="2">
        <v>36000</v>
      </c>
    </row>
    <row r="4" spans="1:2" x14ac:dyDescent="0.3">
      <c r="A4" s="5">
        <v>45294</v>
      </c>
      <c r="B4" s="2">
        <v>18000</v>
      </c>
    </row>
    <row r="5" spans="1:2" x14ac:dyDescent="0.3">
      <c r="A5" s="5">
        <v>45295</v>
      </c>
      <c r="B5" s="2">
        <v>12000</v>
      </c>
    </row>
    <row r="6" spans="1:2" x14ac:dyDescent="0.3">
      <c r="A6" s="5">
        <v>45296</v>
      </c>
      <c r="B6" s="2">
        <v>50000</v>
      </c>
    </row>
    <row r="7" spans="1:2" x14ac:dyDescent="0.3">
      <c r="A7" s="5">
        <v>45297</v>
      </c>
      <c r="B7" s="2">
        <v>15000</v>
      </c>
    </row>
    <row r="8" spans="1:2" x14ac:dyDescent="0.3">
      <c r="A8" s="5">
        <v>45298</v>
      </c>
      <c r="B8" s="2">
        <v>16000</v>
      </c>
    </row>
    <row r="9" spans="1:2" x14ac:dyDescent="0.3">
      <c r="A9" s="5">
        <v>45299</v>
      </c>
      <c r="B9" s="2">
        <v>20000</v>
      </c>
    </row>
    <row r="10" spans="1:2" x14ac:dyDescent="0.3">
      <c r="A10" s="5">
        <v>45300</v>
      </c>
      <c r="B10" s="2">
        <v>22000</v>
      </c>
    </row>
    <row r="11" spans="1:2" x14ac:dyDescent="0.3">
      <c r="A11" s="5">
        <v>45301</v>
      </c>
      <c r="B11" s="2">
        <v>60000</v>
      </c>
    </row>
    <row r="12" spans="1:2" x14ac:dyDescent="0.3">
      <c r="A12" s="5">
        <v>45302</v>
      </c>
      <c r="B12" s="2">
        <v>24000</v>
      </c>
    </row>
    <row r="13" spans="1:2" x14ac:dyDescent="0.3">
      <c r="A13" s="5">
        <v>45303</v>
      </c>
      <c r="B13" s="2">
        <v>13000</v>
      </c>
    </row>
    <row r="14" spans="1:2" x14ac:dyDescent="0.3">
      <c r="A14" s="5">
        <v>45304</v>
      </c>
      <c r="B14" s="2">
        <v>14000</v>
      </c>
    </row>
    <row r="15" spans="1:2" x14ac:dyDescent="0.3">
      <c r="A15" s="5">
        <v>45305</v>
      </c>
      <c r="B15" s="2">
        <v>26000</v>
      </c>
    </row>
    <row r="16" spans="1:2" x14ac:dyDescent="0.3">
      <c r="A16" s="5">
        <v>45306</v>
      </c>
      <c r="B16" s="2">
        <v>21000</v>
      </c>
    </row>
    <row r="17" spans="1:2" x14ac:dyDescent="0.3">
      <c r="A17" s="5" t="s">
        <v>87</v>
      </c>
      <c r="B17" s="2">
        <v>402000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4.4" x14ac:dyDescent="0.3"/>
  <cols>
    <col min="1" max="1" width="12.5546875" bestFit="1" customWidth="1"/>
    <col min="2" max="2" width="12.109375" bestFit="1" customWidth="1"/>
  </cols>
  <sheetData>
    <row r="1" spans="1:2" x14ac:dyDescent="0.3">
      <c r="A1" s="3" t="s">
        <v>86</v>
      </c>
      <c r="B1" t="s">
        <v>84</v>
      </c>
    </row>
    <row r="2" spans="1:2" x14ac:dyDescent="0.3">
      <c r="A2" s="4" t="s">
        <v>18</v>
      </c>
      <c r="B2" s="2">
        <v>17000</v>
      </c>
    </row>
    <row r="3" spans="1:2" x14ac:dyDescent="0.3">
      <c r="A3" s="4" t="s">
        <v>41</v>
      </c>
      <c r="B3" s="2">
        <v>11000</v>
      </c>
    </row>
    <row r="4" spans="1:2" x14ac:dyDescent="0.3">
      <c r="A4" s="4" t="s">
        <v>24</v>
      </c>
      <c r="B4" s="2">
        <v>8000</v>
      </c>
    </row>
    <row r="5" spans="1:2" x14ac:dyDescent="0.3">
      <c r="A5" s="4" t="s">
        <v>60</v>
      </c>
      <c r="B5" s="2">
        <v>7500</v>
      </c>
    </row>
    <row r="6" spans="1:2" x14ac:dyDescent="0.3">
      <c r="A6" s="4" t="s">
        <v>30</v>
      </c>
      <c r="B6" s="2">
        <v>7000</v>
      </c>
    </row>
    <row r="7" spans="1:2" x14ac:dyDescent="0.3">
      <c r="A7" s="4" t="s">
        <v>45</v>
      </c>
      <c r="B7" s="2">
        <v>4500</v>
      </c>
    </row>
    <row r="8" spans="1:2" x14ac:dyDescent="0.3">
      <c r="A8" s="4" t="s">
        <v>50</v>
      </c>
      <c r="B8" s="2">
        <v>3500</v>
      </c>
    </row>
    <row r="9" spans="1:2" x14ac:dyDescent="0.3">
      <c r="A9" s="4" t="s">
        <v>68</v>
      </c>
      <c r="B9" s="2">
        <v>3500</v>
      </c>
    </row>
    <row r="10" spans="1:2" x14ac:dyDescent="0.3">
      <c r="A10" s="4" t="s">
        <v>36</v>
      </c>
      <c r="B10" s="2">
        <v>3000</v>
      </c>
    </row>
    <row r="11" spans="1:2" x14ac:dyDescent="0.3">
      <c r="A11" s="4" t="s">
        <v>87</v>
      </c>
      <c r="B11" s="2">
        <v>65000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/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s="3" t="s">
        <v>86</v>
      </c>
      <c r="B1" t="s">
        <v>83</v>
      </c>
    </row>
    <row r="2" spans="1:2" x14ac:dyDescent="0.3">
      <c r="A2" s="4" t="s">
        <v>48</v>
      </c>
      <c r="B2" s="2">
        <v>16000</v>
      </c>
    </row>
    <row r="3" spans="1:2" x14ac:dyDescent="0.3">
      <c r="A3" s="4" t="s">
        <v>22</v>
      </c>
      <c r="B3" s="2">
        <v>36000</v>
      </c>
    </row>
    <row r="4" spans="1:2" x14ac:dyDescent="0.3">
      <c r="A4" s="4" t="s">
        <v>39</v>
      </c>
      <c r="B4" s="2">
        <v>50000</v>
      </c>
    </row>
    <row r="5" spans="1:2" x14ac:dyDescent="0.3">
      <c r="A5" s="4" t="s">
        <v>63</v>
      </c>
      <c r="B5" s="2">
        <v>60000</v>
      </c>
    </row>
    <row r="6" spans="1:2" x14ac:dyDescent="0.3">
      <c r="A6" s="4" t="s">
        <v>34</v>
      </c>
      <c r="B6" s="2">
        <v>12000</v>
      </c>
    </row>
    <row r="7" spans="1:2" x14ac:dyDescent="0.3">
      <c r="A7" s="4" t="s">
        <v>15</v>
      </c>
      <c r="B7" s="2">
        <v>55000</v>
      </c>
    </row>
    <row r="8" spans="1:2" x14ac:dyDescent="0.3">
      <c r="A8" s="4" t="s">
        <v>71</v>
      </c>
      <c r="B8" s="2">
        <v>13000</v>
      </c>
    </row>
    <row r="9" spans="1:2" x14ac:dyDescent="0.3">
      <c r="A9" s="4" t="s">
        <v>58</v>
      </c>
      <c r="B9" s="2">
        <v>22000</v>
      </c>
    </row>
    <row r="10" spans="1:2" x14ac:dyDescent="0.3">
      <c r="A10" s="4" t="s">
        <v>53</v>
      </c>
      <c r="B10" s="2">
        <v>20000</v>
      </c>
    </row>
    <row r="11" spans="1:2" x14ac:dyDescent="0.3">
      <c r="A11" s="4" t="s">
        <v>27</v>
      </c>
      <c r="B11" s="2">
        <v>18000</v>
      </c>
    </row>
    <row r="12" spans="1:2" x14ac:dyDescent="0.3">
      <c r="A12" s="4" t="s">
        <v>82</v>
      </c>
      <c r="B12" s="2">
        <v>21000</v>
      </c>
    </row>
    <row r="13" spans="1:2" x14ac:dyDescent="0.3">
      <c r="A13" s="4" t="s">
        <v>66</v>
      </c>
      <c r="B13" s="2">
        <v>24000</v>
      </c>
    </row>
    <row r="14" spans="1:2" x14ac:dyDescent="0.3">
      <c r="A14" s="4" t="s">
        <v>44</v>
      </c>
      <c r="B14" s="2">
        <v>15000</v>
      </c>
    </row>
    <row r="15" spans="1:2" x14ac:dyDescent="0.3">
      <c r="A15" s="4" t="s">
        <v>79</v>
      </c>
      <c r="B15" s="2">
        <v>26000</v>
      </c>
    </row>
    <row r="16" spans="1:2" x14ac:dyDescent="0.3">
      <c r="A16" s="4" t="s">
        <v>76</v>
      </c>
      <c r="B16" s="2">
        <v>14000</v>
      </c>
    </row>
    <row r="17" spans="1:2" x14ac:dyDescent="0.3">
      <c r="A17" s="4" t="s">
        <v>87</v>
      </c>
      <c r="B17" s="2">
        <v>402000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P30"/>
  <sheetViews>
    <sheetView showGridLines="0" zoomScale="131" workbookViewId="0"/>
  </sheetViews>
  <sheetFormatPr defaultRowHeight="14.4" x14ac:dyDescent="0.3"/>
  <cols>
    <col min="2" max="2" width="14.6640625" customWidth="1"/>
    <col min="5" max="5" width="1.109375" customWidth="1"/>
    <col min="6" max="6" width="12.44140625" customWidth="1"/>
    <col min="7" max="7" width="10.5546875" customWidth="1"/>
    <col min="9" max="9" width="1.21875" customWidth="1"/>
    <col min="10" max="10" width="11.5546875" customWidth="1"/>
    <col min="11" max="11" width="14.109375" customWidth="1"/>
    <col min="13" max="13" width="1.5546875" customWidth="1"/>
    <col min="14" max="14" width="13.6640625" customWidth="1"/>
  </cols>
  <sheetData>
    <row r="1" spans="2:16" x14ac:dyDescent="0.3">
      <c r="D1" s="12" t="s">
        <v>88</v>
      </c>
      <c r="E1" s="12"/>
      <c r="F1" s="12"/>
      <c r="G1" s="12"/>
      <c r="H1" s="12"/>
      <c r="I1" s="12"/>
      <c r="J1" s="12"/>
      <c r="K1" s="12"/>
    </row>
    <row r="2" spans="2:16" x14ac:dyDescent="0.3">
      <c r="D2" s="12"/>
      <c r="E2" s="12"/>
      <c r="F2" s="12"/>
      <c r="G2" s="12"/>
      <c r="H2" s="12"/>
      <c r="I2" s="12"/>
      <c r="J2" s="12"/>
      <c r="K2" s="12"/>
    </row>
    <row r="4" spans="2:16" ht="21" x14ac:dyDescent="0.3">
      <c r="B4" s="9" t="s">
        <v>89</v>
      </c>
      <c r="C4" s="9"/>
      <c r="D4" s="9"/>
      <c r="F4" s="9" t="s">
        <v>90</v>
      </c>
      <c r="G4" s="9"/>
      <c r="H4" s="9"/>
      <c r="J4" s="9" t="s">
        <v>91</v>
      </c>
      <c r="K4" s="9"/>
      <c r="L4" s="9"/>
      <c r="N4" s="9" t="s">
        <v>92</v>
      </c>
      <c r="O4" s="9"/>
      <c r="P4" s="9"/>
    </row>
    <row r="5" spans="2:16" x14ac:dyDescent="0.3">
      <c r="B5" s="10">
        <f>SUM(Table1[Sales])</f>
        <v>402000</v>
      </c>
      <c r="C5" s="10"/>
      <c r="D5" s="10"/>
      <c r="F5" s="10">
        <f>SUM(Table1[Profit])</f>
        <v>65000</v>
      </c>
      <c r="G5" s="10"/>
      <c r="H5" s="10"/>
      <c r="J5" s="10">
        <f>SUM(Table1[Quantity])</f>
        <v>22</v>
      </c>
      <c r="K5" s="10"/>
      <c r="L5" s="10"/>
      <c r="N5" s="10">
        <f>AVERAGE(Table1[Sales])</f>
        <v>26800</v>
      </c>
      <c r="O5" s="10"/>
      <c r="P5" s="10"/>
    </row>
    <row r="6" spans="2:16" x14ac:dyDescent="0.3">
      <c r="B6" s="10"/>
      <c r="C6" s="10"/>
      <c r="D6" s="10"/>
      <c r="F6" s="10"/>
      <c r="G6" s="10"/>
      <c r="H6" s="10"/>
      <c r="J6" s="10"/>
      <c r="K6" s="10"/>
      <c r="L6" s="10"/>
      <c r="N6" s="10"/>
      <c r="O6" s="10"/>
      <c r="P6" s="10"/>
    </row>
    <row r="7" spans="2:16" x14ac:dyDescent="0.3">
      <c r="B7" s="10"/>
      <c r="C7" s="10"/>
      <c r="D7" s="10"/>
      <c r="F7" s="10"/>
      <c r="G7" s="10"/>
      <c r="H7" s="10"/>
      <c r="J7" s="10"/>
      <c r="K7" s="10"/>
      <c r="L7" s="10"/>
      <c r="N7" s="10"/>
      <c r="O7" s="10"/>
      <c r="P7" s="10"/>
    </row>
    <row r="19" spans="10:11" x14ac:dyDescent="0.3">
      <c r="J19" s="11" t="s">
        <v>93</v>
      </c>
      <c r="K19" s="11"/>
    </row>
    <row r="20" spans="10:11" x14ac:dyDescent="0.3">
      <c r="J20" s="6" t="s">
        <v>86</v>
      </c>
      <c r="K20" s="6" t="s">
        <v>84</v>
      </c>
    </row>
    <row r="21" spans="10:11" x14ac:dyDescent="0.3">
      <c r="J21" s="4" t="s">
        <v>18</v>
      </c>
      <c r="K21" s="2">
        <v>17000</v>
      </c>
    </row>
    <row r="22" spans="10:11" x14ac:dyDescent="0.3">
      <c r="J22" s="4" t="s">
        <v>41</v>
      </c>
      <c r="K22" s="2">
        <v>11000</v>
      </c>
    </row>
    <row r="23" spans="10:11" x14ac:dyDescent="0.3">
      <c r="J23" s="4" t="s">
        <v>24</v>
      </c>
      <c r="K23" s="2">
        <v>8000</v>
      </c>
    </row>
    <row r="24" spans="10:11" x14ac:dyDescent="0.3">
      <c r="J24" s="4" t="s">
        <v>60</v>
      </c>
      <c r="K24" s="2">
        <v>7500</v>
      </c>
    </row>
    <row r="25" spans="10:11" x14ac:dyDescent="0.3">
      <c r="J25" s="4" t="s">
        <v>30</v>
      </c>
      <c r="K25" s="2">
        <v>7000</v>
      </c>
    </row>
    <row r="26" spans="10:11" x14ac:dyDescent="0.3">
      <c r="J26" s="4" t="s">
        <v>45</v>
      </c>
      <c r="K26" s="2">
        <v>4500</v>
      </c>
    </row>
    <row r="27" spans="10:11" x14ac:dyDescent="0.3">
      <c r="J27" s="4" t="s">
        <v>50</v>
      </c>
      <c r="K27" s="2">
        <v>3500</v>
      </c>
    </row>
    <row r="28" spans="10:11" x14ac:dyDescent="0.3">
      <c r="J28" s="4" t="s">
        <v>68</v>
      </c>
      <c r="K28" s="2">
        <v>3500</v>
      </c>
    </row>
    <row r="29" spans="10:11" x14ac:dyDescent="0.3">
      <c r="J29" s="4" t="s">
        <v>36</v>
      </c>
      <c r="K29" s="2">
        <v>3000</v>
      </c>
    </row>
    <row r="30" spans="10:11" x14ac:dyDescent="0.3">
      <c r="J30" s="7" t="s">
        <v>87</v>
      </c>
      <c r="K30" s="8">
        <v>65000</v>
      </c>
    </row>
  </sheetData>
  <mergeCells count="10">
    <mergeCell ref="N4:P4"/>
    <mergeCell ref="N5:P7"/>
    <mergeCell ref="J19:K19"/>
    <mergeCell ref="D1:K2"/>
    <mergeCell ref="B4:D4"/>
    <mergeCell ref="B5:D7"/>
    <mergeCell ref="F4:H4"/>
    <mergeCell ref="F5:H7"/>
    <mergeCell ref="J4:L4"/>
    <mergeCell ref="J5:L7"/>
  </mergeCells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6"/>
  <sheetViews>
    <sheetView workbookViewId="0"/>
  </sheetViews>
  <sheetFormatPr defaultRowHeight="14.4" x14ac:dyDescent="0.3"/>
  <cols>
    <col min="1" max="1" width="10.44140625" customWidth="1"/>
    <col min="2" max="2" width="19.21875" customWidth="1"/>
    <col min="3" max="3" width="15.6640625" customWidth="1"/>
    <col min="4" max="4" width="17" customWidth="1"/>
    <col min="5" max="5" width="16.5546875" customWidth="1"/>
    <col min="6" max="6" width="17" customWidth="1"/>
    <col min="7" max="7" width="15.77734375" customWidth="1"/>
    <col min="8" max="8" width="15.6640625" customWidth="1"/>
    <col min="9" max="9" width="18.33203125" customWidth="1"/>
    <col min="10" max="11" width="14.33203125" customWidth="1"/>
    <col min="12" max="12" width="13.77734375" customWidth="1"/>
    <col min="13" max="13" width="10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1001</v>
      </c>
      <c r="B2" s="1">
        <v>45292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</v>
      </c>
      <c r="K2">
        <v>55000</v>
      </c>
      <c r="L2">
        <v>55000</v>
      </c>
      <c r="M2">
        <v>8000</v>
      </c>
    </row>
    <row r="3" spans="1:13" x14ac:dyDescent="0.3">
      <c r="A3">
        <v>1002</v>
      </c>
      <c r="B3" s="1">
        <v>45293</v>
      </c>
      <c r="C3" t="s">
        <v>20</v>
      </c>
      <c r="D3" t="s">
        <v>21</v>
      </c>
      <c r="E3" t="s">
        <v>22</v>
      </c>
      <c r="F3" t="s">
        <v>23</v>
      </c>
      <c r="G3" t="s">
        <v>17</v>
      </c>
      <c r="H3" t="s">
        <v>24</v>
      </c>
      <c r="I3" t="s">
        <v>19</v>
      </c>
      <c r="J3">
        <v>2</v>
      </c>
      <c r="K3">
        <v>18000</v>
      </c>
      <c r="L3">
        <v>36000</v>
      </c>
      <c r="M3">
        <v>5000</v>
      </c>
    </row>
    <row r="4" spans="1:13" x14ac:dyDescent="0.3">
      <c r="A4">
        <v>1003</v>
      </c>
      <c r="B4" s="1">
        <v>45294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>
        <v>3</v>
      </c>
      <c r="K4">
        <v>6000</v>
      </c>
      <c r="L4">
        <v>18000</v>
      </c>
      <c r="M4">
        <v>4000</v>
      </c>
    </row>
    <row r="5" spans="1:13" x14ac:dyDescent="0.3">
      <c r="A5">
        <v>1004</v>
      </c>
      <c r="B5" s="1">
        <v>45295</v>
      </c>
      <c r="C5" t="s">
        <v>32</v>
      </c>
      <c r="D5" t="s">
        <v>33</v>
      </c>
      <c r="E5" t="s">
        <v>34</v>
      </c>
      <c r="F5" t="s">
        <v>34</v>
      </c>
      <c r="G5" t="s">
        <v>35</v>
      </c>
      <c r="H5" t="s">
        <v>36</v>
      </c>
      <c r="I5" t="s">
        <v>31</v>
      </c>
      <c r="J5">
        <v>1</v>
      </c>
      <c r="K5">
        <v>12000</v>
      </c>
      <c r="L5">
        <v>12000</v>
      </c>
      <c r="M5">
        <v>3000</v>
      </c>
    </row>
    <row r="6" spans="1:13" x14ac:dyDescent="0.3">
      <c r="A6">
        <v>1005</v>
      </c>
      <c r="B6" s="1">
        <v>45296</v>
      </c>
      <c r="C6" t="s">
        <v>37</v>
      </c>
      <c r="D6" t="s">
        <v>38</v>
      </c>
      <c r="E6" t="s">
        <v>39</v>
      </c>
      <c r="F6" t="s">
        <v>40</v>
      </c>
      <c r="G6" t="s">
        <v>17</v>
      </c>
      <c r="H6" t="s">
        <v>41</v>
      </c>
      <c r="I6" t="s">
        <v>19</v>
      </c>
      <c r="J6">
        <v>2</v>
      </c>
      <c r="K6">
        <v>25000</v>
      </c>
      <c r="L6">
        <v>50000</v>
      </c>
      <c r="M6">
        <v>7000</v>
      </c>
    </row>
    <row r="7" spans="1:13" x14ac:dyDescent="0.3">
      <c r="A7">
        <v>1006</v>
      </c>
      <c r="B7" s="1">
        <v>45297</v>
      </c>
      <c r="C7" t="s">
        <v>42</v>
      </c>
      <c r="D7" t="s">
        <v>43</v>
      </c>
      <c r="E7" t="s">
        <v>44</v>
      </c>
      <c r="F7" t="s">
        <v>28</v>
      </c>
      <c r="G7" t="s">
        <v>29</v>
      </c>
      <c r="H7" t="s">
        <v>45</v>
      </c>
      <c r="I7" t="s">
        <v>19</v>
      </c>
      <c r="J7">
        <v>1</v>
      </c>
      <c r="K7">
        <v>15000</v>
      </c>
      <c r="L7">
        <v>15000</v>
      </c>
      <c r="M7">
        <v>2000</v>
      </c>
    </row>
    <row r="8" spans="1:13" x14ac:dyDescent="0.3">
      <c r="A8">
        <v>1007</v>
      </c>
      <c r="B8" s="1">
        <v>45298</v>
      </c>
      <c r="C8" t="s">
        <v>46</v>
      </c>
      <c r="D8" t="s">
        <v>47</v>
      </c>
      <c r="E8" t="s">
        <v>48</v>
      </c>
      <c r="F8" t="s">
        <v>49</v>
      </c>
      <c r="G8" t="s">
        <v>29</v>
      </c>
      <c r="H8" t="s">
        <v>50</v>
      </c>
      <c r="I8" t="s">
        <v>31</v>
      </c>
      <c r="J8">
        <v>2</v>
      </c>
      <c r="K8">
        <v>8000</v>
      </c>
      <c r="L8">
        <v>16000</v>
      </c>
      <c r="M8">
        <v>3500</v>
      </c>
    </row>
    <row r="9" spans="1:13" x14ac:dyDescent="0.3">
      <c r="A9">
        <v>1008</v>
      </c>
      <c r="B9" s="1">
        <v>45299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24</v>
      </c>
      <c r="I9" t="s">
        <v>19</v>
      </c>
      <c r="J9">
        <v>1</v>
      </c>
      <c r="K9">
        <v>20000</v>
      </c>
      <c r="L9">
        <v>20000</v>
      </c>
      <c r="M9">
        <v>3000</v>
      </c>
    </row>
    <row r="10" spans="1:13" x14ac:dyDescent="0.3">
      <c r="A10">
        <v>1009</v>
      </c>
      <c r="B10" s="1">
        <v>45300</v>
      </c>
      <c r="C10" t="s">
        <v>56</v>
      </c>
      <c r="D10" t="s">
        <v>57</v>
      </c>
      <c r="E10" t="s">
        <v>58</v>
      </c>
      <c r="F10" t="s">
        <v>59</v>
      </c>
      <c r="G10" t="s">
        <v>35</v>
      </c>
      <c r="H10" t="s">
        <v>60</v>
      </c>
      <c r="I10" t="s">
        <v>31</v>
      </c>
      <c r="J10">
        <v>1</v>
      </c>
      <c r="K10">
        <v>22000</v>
      </c>
      <c r="L10">
        <v>22000</v>
      </c>
      <c r="M10">
        <v>4000</v>
      </c>
    </row>
    <row r="11" spans="1:13" x14ac:dyDescent="0.3">
      <c r="A11">
        <v>1010</v>
      </c>
      <c r="B11" s="1">
        <v>45301</v>
      </c>
      <c r="C11" t="s">
        <v>61</v>
      </c>
      <c r="D11" t="s">
        <v>62</v>
      </c>
      <c r="E11" t="s">
        <v>63</v>
      </c>
      <c r="F11" t="s">
        <v>40</v>
      </c>
      <c r="G11" t="s">
        <v>17</v>
      </c>
      <c r="H11" t="s">
        <v>18</v>
      </c>
      <c r="I11" t="s">
        <v>19</v>
      </c>
      <c r="J11">
        <v>1</v>
      </c>
      <c r="K11">
        <v>60000</v>
      </c>
      <c r="L11">
        <v>60000</v>
      </c>
      <c r="M11">
        <v>9000</v>
      </c>
    </row>
    <row r="12" spans="1:13" x14ac:dyDescent="0.3">
      <c r="A12">
        <v>1011</v>
      </c>
      <c r="B12" s="1">
        <v>45302</v>
      </c>
      <c r="C12" t="s">
        <v>64</v>
      </c>
      <c r="D12" t="s">
        <v>65</v>
      </c>
      <c r="E12" t="s">
        <v>66</v>
      </c>
      <c r="F12" t="s">
        <v>67</v>
      </c>
      <c r="G12" t="s">
        <v>35</v>
      </c>
      <c r="H12" t="s">
        <v>68</v>
      </c>
      <c r="I12" t="s">
        <v>19</v>
      </c>
      <c r="J12">
        <v>2</v>
      </c>
      <c r="K12">
        <v>12000</v>
      </c>
      <c r="L12">
        <v>24000</v>
      </c>
      <c r="M12">
        <v>3500</v>
      </c>
    </row>
    <row r="13" spans="1:13" x14ac:dyDescent="0.3">
      <c r="A13">
        <v>1012</v>
      </c>
      <c r="B13" s="1">
        <v>45303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30</v>
      </c>
      <c r="I13" t="s">
        <v>31</v>
      </c>
      <c r="J13">
        <v>2</v>
      </c>
      <c r="K13">
        <v>6500</v>
      </c>
      <c r="L13">
        <v>13000</v>
      </c>
      <c r="M13">
        <v>3000</v>
      </c>
    </row>
    <row r="14" spans="1:13" x14ac:dyDescent="0.3">
      <c r="A14">
        <v>1013</v>
      </c>
      <c r="B14" s="1">
        <v>45304</v>
      </c>
      <c r="C14" t="s">
        <v>74</v>
      </c>
      <c r="D14" t="s">
        <v>75</v>
      </c>
      <c r="E14" t="s">
        <v>76</v>
      </c>
      <c r="F14" t="s">
        <v>40</v>
      </c>
      <c r="G14" t="s">
        <v>17</v>
      </c>
      <c r="H14" t="s">
        <v>45</v>
      </c>
      <c r="I14" t="s">
        <v>19</v>
      </c>
      <c r="J14">
        <v>1</v>
      </c>
      <c r="K14">
        <v>14000</v>
      </c>
      <c r="L14">
        <v>14000</v>
      </c>
      <c r="M14">
        <v>2500</v>
      </c>
    </row>
    <row r="15" spans="1:13" x14ac:dyDescent="0.3">
      <c r="A15">
        <v>1014</v>
      </c>
      <c r="B15" s="1">
        <v>45305</v>
      </c>
      <c r="C15" t="s">
        <v>77</v>
      </c>
      <c r="D15" t="s">
        <v>78</v>
      </c>
      <c r="E15" t="s">
        <v>79</v>
      </c>
      <c r="F15" t="s">
        <v>49</v>
      </c>
      <c r="G15" t="s">
        <v>29</v>
      </c>
      <c r="H15" t="s">
        <v>41</v>
      </c>
      <c r="I15" t="s">
        <v>19</v>
      </c>
      <c r="J15">
        <v>1</v>
      </c>
      <c r="K15">
        <v>26000</v>
      </c>
      <c r="L15">
        <v>26000</v>
      </c>
      <c r="M15">
        <v>4000</v>
      </c>
    </row>
    <row r="16" spans="1:13" x14ac:dyDescent="0.3">
      <c r="A16">
        <v>1015</v>
      </c>
      <c r="B16" s="1">
        <v>45306</v>
      </c>
      <c r="C16" t="s">
        <v>80</v>
      </c>
      <c r="D16" t="s">
        <v>81</v>
      </c>
      <c r="E16" t="s">
        <v>82</v>
      </c>
      <c r="F16" t="s">
        <v>28</v>
      </c>
      <c r="G16" t="s">
        <v>29</v>
      </c>
      <c r="H16" t="s">
        <v>60</v>
      </c>
      <c r="I16" t="s">
        <v>31</v>
      </c>
      <c r="J16">
        <v>1</v>
      </c>
      <c r="K16">
        <v>21000</v>
      </c>
      <c r="L16">
        <v>21000</v>
      </c>
      <c r="M16">
        <v>3500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KPIs_pivot</vt:lpstr>
      <vt:lpstr>Sales_By_Region</vt:lpstr>
      <vt:lpstr>Sales_By_Category</vt:lpstr>
      <vt:lpstr>Sales_Trend</vt:lpstr>
      <vt:lpstr>Top_Products</vt:lpstr>
      <vt:lpstr>Sales_By_City</vt:lpstr>
      <vt:lpstr>Dashboard</vt:lpstr>
      <vt:lpstr>Sales_Analysis_Dataset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RICHAL</dc:creator>
  <cp:lastModifiedBy>RICHAL</cp:lastModifiedBy>
  <cp:lastPrinted>2026-01-16T07:07:00Z</cp:lastPrinted>
  <dcterms:created xsi:type="dcterms:W3CDTF">2026-01-16T07:08:23Z</dcterms:created>
  <dcterms:modified xsi:type="dcterms:W3CDTF">2026-01-16T07:10:15Z</dcterms:modified>
</cp:coreProperties>
</file>